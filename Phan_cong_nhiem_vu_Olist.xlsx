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E85107-D58B-4E65-99A0-391CBE5580D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Vai trò thành viên" sheetId="1" r:id="rId1"/>
    <sheet name="Phân công chi tiết" sheetId="2" r:id="rId2"/>
    <sheet name="Điểm giao nhau" sheetId="5" r:id="rId3"/>
    <sheet name="Phân công báo cáo" sheetId="6" r:id="rId4"/>
  </sheets>
  <definedNames>
    <definedName name="_xlnm._FilterDatabase" localSheetId="1" hidden="1">'Phân công chi tiết'!$A$4:$M$52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2" i="2" l="1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</calcChain>
</file>

<file path=xl/sharedStrings.xml><?xml version="1.0" encoding="utf-8"?>
<sst xmlns="http://schemas.openxmlformats.org/spreadsheetml/2006/main" count="532" uniqueCount="295">
  <si>
    <t>VAI TRÒ VÀ SẢN PHẨM BÀN GIAO CỦA TỪNG THÀNH VIÊN</t>
  </si>
  <si>
    <t>Thành viên</t>
  </si>
  <si>
    <t>Họ tên (điền)</t>
  </si>
  <si>
    <t>Vai trò</t>
  </si>
  <si>
    <t>Mảng chính</t>
  </si>
  <si>
    <t>Dữ liệu chính</t>
  </si>
  <si>
    <t>Sản phẩm bàn giao chính</t>
  </si>
  <si>
    <t>A</t>
  </si>
  <si>
    <t>Trưởng nhóm, Kỹ sư dữ liệu và Mô hình hóa</t>
  </si>
  <si>
    <t>Pipeline dữ liệu, tiền xử lý, phân cụm, đánh giá mô hình, SHAP, dashboard, quản lý repo</t>
  </si>
  <si>
    <t>Olist (chính), Online Retail II (chạy lại pipeline)</t>
  </si>
  <si>
    <t>olist_clean.parquet; notebook pipeline phân cụm dùng lại được; báo cáo đánh giá mô hình; dashboard Streamlit</t>
  </si>
  <si>
    <t>B</t>
  </si>
  <si>
    <t>Chuyên viên phân tích Trải nghiệm và Dịch vụ</t>
  </si>
  <si>
    <t>Đặc trưng đánh giá, giao hàng, phí ship; phân tích văn bản; đề xuất cải thiện dịch vụ</t>
  </si>
  <si>
    <t>Olist</t>
  </si>
  <si>
    <t>features_experience.csv; báo cáo EDA; phần Đề xuất cải thiện chất lượng dịch vụ</t>
  </si>
  <si>
    <t>C</t>
  </si>
  <si>
    <t>Chuyên viên phân tích Loyalty và Chiến lược</t>
  </si>
  <si>
    <t>Đặc trưng RFM/loyalty, phân khúc RFM truyền thống, CLV, chiến lược quảng bá, A/B testing</t>
  </si>
  <si>
    <t>Online Retail II (chính), Olist (đặc trưng loyalty)</t>
  </si>
  <si>
    <t>Bảng đặc trưng loyalty 2 bộ; bảng chiến lược theo phân khúc; phần so sánh hai bộ dữ liệu</t>
  </si>
  <si>
    <t>Ô vàng ở cột Họ tên là ô cần điền. Ví dụ: Nguyễn Văn An.</t>
  </si>
  <si>
    <t>Lưu ý về dữ liệu</t>
  </si>
  <si>
    <t>• Online Retail II không có review và phí ship, nên mô hình đầy đủ (trải nghiệm + loyalty) chỉ chạy được trên Olist.</t>
  </si>
  <si>
    <t>• Online Retail II dùng cho mô hình loyalty/RFM để kiểm chứng phương pháp và so sánh cấu trúc cụm.</t>
  </si>
  <si>
    <t>• Không ghép hai bộ dữ liệu vào một mô hình vì khách hàng không liên quan và đặc trưng khác nhau.</t>
  </si>
  <si>
    <t>• Nhận diện khách bằng customer_unique_id (Olist), không dùng customer_id.</t>
  </si>
  <si>
    <t>BẢNG PHÂN CÔNG NHIỆM VỤ CHI TIẾT</t>
  </si>
  <si>
    <t>Cột Trạng thái dùng danh sách chọn. Sửa Tuần BĐ/KT sẽ cập nhật tự động sang sheet Lộ trình và Tổng hợp.</t>
  </si>
  <si>
    <t>Mã</t>
  </si>
  <si>
    <t>Giai đoạn</t>
  </si>
  <si>
    <t>Nhiệm vụ</t>
  </si>
  <si>
    <t>Chi tiết cần làm</t>
  </si>
  <si>
    <t>Phụ trách</t>
  </si>
  <si>
    <t>Hỗ trợ</t>
  </si>
  <si>
    <t>Tuần BĐ</t>
  </si>
  <si>
    <t>Tuần KT</t>
  </si>
  <si>
    <t>Số tuần</t>
  </si>
  <si>
    <t>Sản phẩm bàn giao</t>
  </si>
  <si>
    <t>Ưu tiên</t>
  </si>
  <si>
    <t>Trạng thái</t>
  </si>
  <si>
    <t>Ghi chú</t>
  </si>
  <si>
    <t>A01</t>
  </si>
  <si>
    <t>Chuẩn bị</t>
  </si>
  <si>
    <t>Dựng repo và môi trường</t>
  </si>
  <si>
    <t>Tạo repo Git, cấu trúc thư mục (data/notebooks/src/reports), môi trường Python chung (requirements.txt), quy ước đặt tên biến và nhánh.</t>
  </si>
  <si>
    <t>Repo Git + README</t>
  </si>
  <si>
    <t>Cao</t>
  </si>
  <si>
    <t>Chưa bắt đầu</t>
  </si>
  <si>
    <t>A02</t>
  </si>
  <si>
    <t>Tải và đọc dữ liệu Olist</t>
  </si>
  <si>
    <t>Tải 9 bảng Olist từ Kaggle, kiểm tra schema, số dòng, khóa liên kết giữa các bảng.</t>
  </si>
  <si>
    <t>Notebook 01_data_overview</t>
  </si>
  <si>
    <t>A03</t>
  </si>
  <si>
    <t>Làm sạch</t>
  </si>
  <si>
    <t>Hợp nhất các bảng Olist</t>
  </si>
  <si>
    <t>Join orders → order_items → order_payments → order_reviews → customers → products. Kiểm tra trùng lặp khi join (1 đơn nhiều dòng item/payment/review).</t>
  </si>
  <si>
    <t>Bảng hợp nhất cấp đơn hàng</t>
  </si>
  <si>
    <t>A04</t>
  </si>
  <si>
    <t>Làm sạch dữ liệu Olist</t>
  </si>
  <si>
    <t>Xử lý đơn hủy/không giao, giá trị thiếu, ngày giao null, đơn không có review; thống nhất định dạng thời gian.</t>
  </si>
  <si>
    <t>Báo cáo chất lượng dữ liệu</t>
  </si>
  <si>
    <t>A05</t>
  </si>
  <si>
    <t>Gộp về cấp khách hàng</t>
  </si>
  <si>
    <t>Group by customer_unique_id (không dùng customer_id). Xuất olist_clean.parquet làm đầu vào chung cho cả nhóm.</t>
  </si>
  <si>
    <t>olist_clean.parquet</t>
  </si>
  <si>
    <t>A06</t>
  </si>
  <si>
    <t>Mô hình</t>
  </si>
  <si>
    <t>Tiền xử lý đặc trưng</t>
  </si>
  <si>
    <t>log1p cho biến lệch (Monetary, Frequency), winsorize 1%–99%, StandardScaler, kiểm tra ma trận tương quan, cân nhắc PCA.</t>
  </si>
  <si>
    <t>Notebook 03_preprocessing</t>
  </si>
  <si>
    <t>A07</t>
  </si>
  <si>
    <t>Chạy các thuật toán phân cụm</t>
  </si>
  <si>
    <t>K-Means (baseline), Gaussian Mixture Model, Hierarchical/DBSCAN trên Olist; lưu nhãn cụm của từng mô hình.</t>
  </si>
  <si>
    <t>Notebook 04_clustering</t>
  </si>
  <si>
    <t>A08</t>
  </si>
  <si>
    <t>Chọn số cụm k</t>
  </si>
  <si>
    <t>So sánh Elbow, Silhouette, Davies-Bouldin cho k = 3–8; kết hợp ý nghĩa kinh doanh cùng B và C.</t>
  </si>
  <si>
    <t>B, C</t>
  </si>
  <si>
    <t>Biểu đồ chọn k + bảng so sánh</t>
  </si>
  <si>
    <t>A09</t>
  </si>
  <si>
    <t>Đánh giá độ ổn định cụm</t>
  </si>
  <si>
    <t>Chạy lại nhiều seed, bootstrap, tính Adjusted Rand Index; kiểm định ANOVA/Kruskal-Wallis giữa các cụm.</t>
  </si>
  <si>
    <t>Báo cáo đánh giá mô hình</t>
  </si>
  <si>
    <t>Trung bình</t>
  </si>
  <si>
    <t>A10</t>
  </si>
  <si>
    <t>Chạy pipeline trên Online Retail II</t>
  </si>
  <si>
    <t>Áp dụng pipeline tiền xử lý + phân cụm lên bảng loyalty/RFM do C cung cấp; so sánh cấu trúc cụm với Olist.</t>
  </si>
  <si>
    <t>Kết quả cụm Online Retail II</t>
  </si>
  <si>
    <t>A11</t>
  </si>
  <si>
    <t>Mô hình dự đoán cụm + SHAP</t>
  </si>
  <si>
    <t>Huấn luyện Random Forest/XGBoost dự đoán nhãn cụm, dùng SHAP xác định đặc trưng quyết định; dùng để gán cụm cho khách mới.</t>
  </si>
  <si>
    <t>Mô hình .pkl + biểu đồ SHAP</t>
  </si>
  <si>
    <t>A12</t>
  </si>
  <si>
    <t>Triển khai</t>
  </si>
  <si>
    <t>Dashboard Streamlit</t>
  </si>
  <si>
    <t>Dashboard: hồ sơ cụm, radar chart, lọc theo cụm, tra cứu khách hàng mới thuộc cụm nào.</t>
  </si>
  <si>
    <t>App Streamlit</t>
  </si>
  <si>
    <t>A13</t>
  </si>
  <si>
    <t>Báo cáo</t>
  </si>
  <si>
    <t>Viết phần dữ liệu và phương pháp</t>
  </si>
  <si>
    <t>Viết mục mô tả dữ liệu Olist và mục phương pháp phân cụm, đánh giá mô hình.</t>
  </si>
  <si>
    <t>Phần 2 (Olist) và Phần 4 báo cáo</t>
  </si>
  <si>
    <t>A14</t>
  </si>
  <si>
    <t>Rà soát code, biểu đồ, tài liệu</t>
  </si>
  <si>
    <t>Chạy lại toàn bộ notebook từ đầu, kiểm tra tái lập, thống nhất style biểu đồ, hoàn thiện README.</t>
  </si>
  <si>
    <t>Repo cuối cùng</t>
  </si>
  <si>
    <t>A15</t>
  </si>
  <si>
    <t>Quản lý</t>
  </si>
  <si>
    <t>Duyệt pull request hàng tuần</t>
  </si>
  <si>
    <t>Review code của B và C, merge vào nhánh main, giải quyết xung đột.</t>
  </si>
  <si>
    <t>Lịch sử PR</t>
  </si>
  <si>
    <t>B01</t>
  </si>
  <si>
    <t>Tìm hiểu cột review, giao hàng, phí ship</t>
  </si>
  <si>
    <t>Đọc kỹ order_reviews, order_items (freight_value), cột ngày giao dự kiến/thực tế trong orders; ghi chú vào file định nghĩa đặc trưng.</t>
  </si>
  <si>
    <t>Ghi chú đặc trưng (data dictionary)</t>
  </si>
  <si>
    <t>B02</t>
  </si>
  <si>
    <t>EDA</t>
  </si>
  <si>
    <t>EDA đánh giá và giao hàng</t>
  </si>
  <si>
    <t>Phân phối điểm review, tỷ lệ đơn giao trễ, phân phối phí ship theo bang; phát hiện ngoại lệ.</t>
  </si>
  <si>
    <t>Notebook 02_eda_experience</t>
  </si>
  <si>
    <t>B03</t>
  </si>
  <si>
    <t>Đặc trưng</t>
  </si>
  <si>
    <t>Đặc trưng nhóm đánh giá</t>
  </si>
  <si>
    <t>Điểm review trung bình, tỷ lệ review ≤2 sao, tỷ lệ có để lại review, độ dài bình luận.</t>
  </si>
  <si>
    <t>Cột review_* trong bảng đặc trưng</t>
  </si>
  <si>
    <t>B04</t>
  </si>
  <si>
    <t>Đặc trưng nhóm giao hàng</t>
  </si>
  <si>
    <t>Số ngày giao thực tế, delivery_delay (thực tế − dự kiến), tỷ lệ đơn giao trễ, khoảng cách khách–người bán.</t>
  </si>
  <si>
    <t>Cột delivery_* trong bảng đặc trưng</t>
  </si>
  <si>
    <t>B05</t>
  </si>
  <si>
    <t>Đặc trưng nhóm phí vận chuyển</t>
  </si>
  <si>
    <t>freight_ratio (phí ship/giá trị đơn), phí ship trung bình, phí ship theo bang/khoảng cách.</t>
  </si>
  <si>
    <t>Cột freight_* trong bảng đặc trưng</t>
  </si>
  <si>
    <t>B06</t>
  </si>
  <si>
    <t>Xuất bảng đặc trưng trải nghiệm</t>
  </si>
  <si>
    <t>Gộp B03–B05 ở cấp customer_unique_id, kiểm tra thiếu/ngoại lệ, bàn giao cho A.</t>
  </si>
  <si>
    <t>features_experience.csv</t>
  </si>
  <si>
    <t>B07</t>
  </si>
  <si>
    <t>Phân tích</t>
  </si>
  <si>
    <t>Phân tích văn bản bình luận</t>
  </si>
  <si>
    <t>Xử lý bình luận tiếng Bồ Đào Nha (bỏ stopword), TF-IDF hoặc topic modeling; nhóm từ khóa phàn nàn: giao trễ, sai hàng, hư hỏng.</t>
  </si>
  <si>
    <t>Notebook 05_text_analysis</t>
  </si>
  <si>
    <t>Thấp</t>
  </si>
  <si>
    <t>B08</t>
  </si>
  <si>
    <t>Quan hệ giao trễ, phí ship và hành vi</t>
  </si>
  <si>
    <t>Phân tích giao trễ ↔ điểm review; phí ship ↔ giá trị đơn ↔ khả năng quay lại mua.</t>
  </si>
  <si>
    <t>Biểu đồ + kết luận EDA</t>
  </si>
  <si>
    <t>B09</t>
  </si>
  <si>
    <t>Truy ngược về nhà bán/bang/tuyến</t>
  </si>
  <si>
    <t>Xác định nhà bán, bang và tuyến vận chuyển tập trung nhiều khách đánh giá thấp hoặc giao trễ.</t>
  </si>
  <si>
    <t>Danh sách nhà bán/tuyến cần xử lý</t>
  </si>
  <si>
    <t>B10</t>
  </si>
  <si>
    <t>Diễn giải</t>
  </si>
  <si>
    <t>Diễn giải cụm về trải nghiệm</t>
  </si>
  <si>
    <t>Lập bảng trung bình đặc trưng trải nghiệm theo cụm, so với toàn bộ; mô tả nhóm nhạy cảm phí ship, hay đánh giá thấp, bị ảnh hưởng giao trễ.</t>
  </si>
  <si>
    <t>Hồ sơ cụm (phần trải nghiệm)</t>
  </si>
  <si>
    <t>B11</t>
  </si>
  <si>
    <t>Dịch vụ</t>
  </si>
  <si>
    <t>Xác định ngưỡng phí ship và giao trễ</t>
  </si>
  <si>
    <t>Tìm ngưỡng freight_ratio/số ngày trễ mà tại đó điểm review giảm mạnh; làm căn cứ chính sách.</t>
  </si>
  <si>
    <t>Bảng ngưỡng khuyến nghị</t>
  </si>
  <si>
    <t>B12</t>
  </si>
  <si>
    <t>Đề xuất cải thiện chất lượng dịch vụ</t>
  </si>
  <si>
    <t>Đề xuất ngưỡng freeship, cam kết thời gian giao, cải thiện tuyến/nhà bán, quy trình xử lý khiếu nại chủ động.</t>
  </si>
  <si>
    <t>Phần Đề xuất cải thiện dịch vụ</t>
  </si>
  <si>
    <t>B13</t>
  </si>
  <si>
    <t>Viết phần dịch vụ và EDA trải nghiệm</t>
  </si>
  <si>
    <t>Viết EDA review/giao hàng, đặc trưng trải nghiệm, hồ sơ cụm (trải nghiệm) và đề xuất cải thiện dịch vụ.</t>
  </si>
  <si>
    <t>Phần 3, 5, 7 báo cáo (mảng B)</t>
  </si>
  <si>
    <t>B14</t>
  </si>
  <si>
    <t>Hiệu đính và làm slide phần B</t>
  </si>
  <si>
    <t>Hiệu đính báo cáo, làm slide và luyện thuyết trình phần dịch vụ.</t>
  </si>
  <si>
    <t>Slide phần B</t>
  </si>
  <si>
    <t>C01</t>
  </si>
  <si>
    <t>Tìm hiểu Online Retail II</t>
  </si>
  <si>
    <t>Tải dữ liệu UCI, đọc cột Invoice, StockCode, Quantity, Price, Customer ID, Country; hiểu hóa đơn hủy (mã bắt đầu bằng "C").</t>
  </si>
  <si>
    <t>Ghi chú dữ liệu Online Retail II</t>
  </si>
  <si>
    <t>C02</t>
  </si>
  <si>
    <t>Chốt định nghĩa trung thành và ngày mốc</t>
  </si>
  <si>
    <t>Đề xuất ngày mốc tính Recency, tiêu chí "khách trung thành" cho từng bộ dữ liệu; thống nhất với A.</t>
  </si>
  <si>
    <t>Tài liệu định nghĩa</t>
  </si>
  <si>
    <t>C03</t>
  </si>
  <si>
    <t>Làm sạch Online Retail II</t>
  </si>
  <si>
    <t>Loại hóa đơn hủy, Quantity/Price âm hoặc bằng 0, dòng thiếu Customer ID; cân nhắc tách khách bán sỉ; gộp 2 sheet năm.</t>
  </si>
  <si>
    <t>online_retail_clean.parquet</t>
  </si>
  <si>
    <t>C04</t>
  </si>
  <si>
    <t>Đặc trưng loyalty Online Retail II</t>
  </si>
  <si>
    <t>Recency, Frequency, Monetary, AOV, số sản phẩm/danh mục, khoảng cách giữa các lần mua, tỷ lệ đơn trả hàng.</t>
  </si>
  <si>
    <t>features_loyalty_retail.csv</t>
  </si>
  <si>
    <t>C05</t>
  </si>
  <si>
    <t>Đặc trưng loyalty và giá trị Olist</t>
  </si>
  <si>
    <t>RFM, AOV, giá trị đơn lớn nhất, số danh mục, hình thức thanh toán, số kỳ trả góp, tỷ lệ dùng voucher.</t>
  </si>
  <si>
    <t>features_loyalty_olist.csv</t>
  </si>
  <si>
    <t>C06</t>
  </si>
  <si>
    <t>Phân khúc RFM truyền thống</t>
  </si>
  <si>
    <t>Chấm điểm RFM theo quintile, gán nhóm Champions, Loyal, At Risk, Hibernating... làm mốc đối chiếu với phân cụm.</t>
  </si>
  <si>
    <t>Notebook 06_rfm_segments</t>
  </si>
  <si>
    <t>C07</t>
  </si>
  <si>
    <t>Tính CLV (mở rộng)</t>
  </si>
  <si>
    <t>BG/NBD + Gamma-Gamma trên Online Retail II để dự báo số đơn và giá trị tương lai. Có thể cắt nếu chậm tiến độ.</t>
  </si>
  <si>
    <t>Bảng CLV theo khách</t>
  </si>
  <si>
    <t>C08</t>
  </si>
  <si>
    <t>Đối chiếu hai bộ dữ liệu</t>
  </si>
  <si>
    <t>So sánh tỷ lệ mua lặp, phân phối RFM, cấu trúc cụm giữa Olist và Online Retail II.</t>
  </si>
  <si>
    <t>Bảng so sánh hai bộ dữ liệu</t>
  </si>
  <si>
    <t>C09</t>
  </si>
  <si>
    <t>Diễn giải cụm về loyalty và giá trị</t>
  </si>
  <si>
    <t>Lập hồ sơ cụm theo RFM/AOV/thanh toán; xác định nhóm trung thành, VIP tiềm năng, đã rời bỏ, mới tiềm năng.</t>
  </si>
  <si>
    <t>Hồ sơ cụm (phần loyalty)</t>
  </si>
  <si>
    <t>C10</t>
  </si>
  <si>
    <t>Chiến lược</t>
  </si>
  <si>
    <t>Bảng chiến lược quảng bá theo phân khúc</t>
  </si>
  <si>
    <t>Với mỗi phân khúc: mục tiêu, kênh, ưu đãi, thông điệp, KPI, ngân sách ưu tiên.</t>
  </si>
  <si>
    <t>Bảng chiến lược theo phân khúc</t>
  </si>
  <si>
    <t>C11</t>
  </si>
  <si>
    <t>Thiết kế kế hoạch A/B testing</t>
  </si>
  <si>
    <t>Giả thuyết, nhóm đối chứng/thử nghiệm, chỉ số đo, cỡ mẫu, thời gian thử nghiệm cho từng chiến lược chính.</t>
  </si>
  <si>
    <t>Kế hoạch A/B</t>
  </si>
  <si>
    <t>C12</t>
  </si>
  <si>
    <t>Ứng dụng cho sàn khác</t>
  </si>
  <si>
    <t>Ánh xạ đặc trưng sang Shopee, Lazada, Tiki, TikTok Shop, Amazon; lưu ý khác biệt thị trường; nêu hạn chế.</t>
  </si>
  <si>
    <t>Phần Ứng dụng và hạn chế</t>
  </si>
  <si>
    <t>C13</t>
  </si>
  <si>
    <t>Viết phần giới thiệu, chiến lược, so sánh</t>
  </si>
  <si>
    <t>Viết giới thiệu và mục tiêu, EDA Online Retail II, hồ sơ cụm (loyalty), chiến lược quảng bá, so sánh hai bộ dữ liệu.</t>
  </si>
  <si>
    <t>Phần 1, 2 (ORII), 3, 5, 6, 8 báo cáo (mảng C)</t>
  </si>
  <si>
    <t>C14</t>
  </si>
  <si>
    <t>Hiệu đính và làm slide phần C</t>
  </si>
  <si>
    <t>Hiệu đính báo cáo, tổng hợp slide chung, luyện thuyết trình phần chiến lược.</t>
  </si>
  <si>
    <t>Slide phần C + bộ slide tổng</t>
  </si>
  <si>
    <t>S01</t>
  </si>
  <si>
    <t>Mốc chung</t>
  </si>
  <si>
    <t>Họp chốt phạm vi và định nghĩa</t>
  </si>
  <si>
    <t>Thống nhất phạm vi, định nghĩa đặc trưng, ngày mốc, quy tắc làm việc.</t>
  </si>
  <si>
    <t>Cả nhóm</t>
  </si>
  <si>
    <t>Biên bản họp</t>
  </si>
  <si>
    <t>S02</t>
  </si>
  <si>
    <t>Chốt danh sách đặc trưng cuối</t>
  </si>
  <si>
    <t>Hợp nhất bảng đặc trưng B và C, loại biến tương quan cao, chốt đặc trưng đưa vào mô hình (A quyết định).</t>
  </si>
  <si>
    <t>Bảng đặc trưng v1</t>
  </si>
  <si>
    <t>S03</t>
  </si>
  <si>
    <t>Chốt số cụm k và đặt tên phân khúc</t>
  </si>
  <si>
    <t>Họp chung nhìn kết quả cụm, thống nhất k và tên từng phân khúc theo hành vi.</t>
  </si>
  <si>
    <t>Danh sách phân khúc chính thức</t>
  </si>
  <si>
    <t>S04</t>
  </si>
  <si>
    <t>Bản nháp kết quả</t>
  </si>
  <si>
    <t>Tổng hợp kết quả mô hình, chiến lược, đề xuất dịch vụ; góp ý chéo.</t>
  </si>
  <si>
    <t>S05</t>
  </si>
  <si>
    <t>Nộp báo cáo và trình bày</t>
  </si>
  <si>
    <t>Hoàn thiện báo cáo, slide, tập dượt thuyết trình.</t>
  </si>
  <si>
    <t>Báo cáo + slide cuối</t>
  </si>
  <si>
    <t>Chú thích: chữ xanh dương = giá trị có thể chỉnh (tuần bắt đầu/kết thúc). Ưu tiên "Thấp" là phần mở rộng, có thể cắt khi chậm tiến độ (xem tuần 3).</t>
  </si>
  <si>
    <t>CÁC QUYẾT ĐỊNH CẦN HỌP THỐNG NHẤT</t>
  </si>
  <si>
    <t>Nội dung</t>
  </si>
  <si>
    <t>Người quyết định</t>
  </si>
  <si>
    <t>Người tham gia</t>
  </si>
  <si>
    <t>Thời điểm (tuần)</t>
  </si>
  <si>
    <t>Danh sách đặc trưng cuối cùng</t>
  </si>
  <si>
    <t>Ngày mốc tính Recency</t>
  </si>
  <si>
    <t>Mỗi bộ dữ liệu một ngày mốc riêng</t>
  </si>
  <si>
    <t>Định nghĩa "khách trung thành"</t>
  </si>
  <si>
    <t>Olist ~97% mua 1 lần, cần định nghĩa phù hợp</t>
  </si>
  <si>
    <t>Số cụm k</t>
  </si>
  <si>
    <t>Dựa trên chỉ số + ý nghĩa kinh doanh</t>
  </si>
  <si>
    <t>Tên các phân khúc</t>
  </si>
  <si>
    <t>Đặt theo hành vi</t>
  </si>
  <si>
    <t>Diễn giải cụm thành hành động kinh doanh</t>
  </si>
  <si>
    <t>B và C</t>
  </si>
  <si>
    <t>A hỗ trợ</t>
  </si>
  <si>
    <t>B: dịch vụ, C: quảng bá</t>
  </si>
  <si>
    <t>Chất lượng code, merge, tài liệu</t>
  </si>
  <si>
    <t>Duyệt PR hàng tuần</t>
  </si>
  <si>
    <t>PHÂN CÔNG VIẾT BÁO CÁO VÀ THUYẾT TRÌNH</t>
  </si>
  <si>
    <t>Phần báo cáo</t>
  </si>
  <si>
    <t>Phụ trách chính</t>
  </si>
  <si>
    <t>Phối hợp</t>
  </si>
  <si>
    <t>Hạn (tuần)</t>
  </si>
  <si>
    <t>1. Giới thiệu và mục tiêu</t>
  </si>
  <si>
    <t>2. Mô tả dữ liệu và EDA — Olist</t>
  </si>
  <si>
    <t>2. Mô tả dữ liệu và EDA — Online Retail II</t>
  </si>
  <si>
    <t>2. EDA đánh giá và giao hàng</t>
  </si>
  <si>
    <t>3. Xây dựng đặc trưng — trải nghiệm</t>
  </si>
  <si>
    <t>3. Xây dựng đặc trưng — loyalty</t>
  </si>
  <si>
    <t>3. Xây dựng đặc trưng — tổng hợp</t>
  </si>
  <si>
    <t>4. Phương pháp phân cụm và đánh giá</t>
  </si>
  <si>
    <t>5. Hồ sơ phân khúc</t>
  </si>
  <si>
    <t>6. Chiến lược quảng bá theo phân khúc</t>
  </si>
  <si>
    <t>7. Cải thiện chất lượng dịch vụ (giá ship, giao trễ)</t>
  </si>
  <si>
    <t>8. Ứng dụng cho sàn khác, hạn chế, hướng phát triển</t>
  </si>
  <si>
    <t>A rà soát</t>
  </si>
  <si>
    <t>Thuyết trình: dữ liệu và mô hình</t>
  </si>
  <si>
    <t>Thuyết trình: dịch vụ</t>
  </si>
  <si>
    <t>Thuyết trình: chiến lược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</si>
</sst>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595959"/>
      <name val="Arial"/>
      <charset val="1"/>
    </font>
    <font>
      <b/>
      <sz val="11"/>
      <color rgb="FF1F3864"/>
      <name val="Arial"/>
      <charset val="1"/>
    </font>
    <font>
      <sz val="10"/>
      <color rgb="FF0000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FF99"/>
        <bgColor rgb="FFFFEB9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Bình thường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EDEDED"/>
      <rgbColor rgb="FFFF99CC"/>
      <rgbColor rgb="FFCC99FF"/>
      <rgbColor rgb="FFFFC7CE"/>
      <rgbColor rgb="FF2F75B5"/>
      <rgbColor rgb="FF33CCCC"/>
      <rgbColor rgb="FF99CC00"/>
      <rgbColor rgb="FFFFCC00"/>
      <rgbColor rgb="FFBF8F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2" width="22" customWidth="1"/>
    <col min="3" max="3" width="30" customWidth="1"/>
    <col min="4" max="4" width="42" customWidth="1"/>
    <col min="5" max="5" width="28" customWidth="1"/>
    <col min="6" max="6" width="55" customWidth="1"/>
  </cols>
  <sheetData>
    <row r="1" spans="1:6" ht="17.399999999999999" x14ac:dyDescent="0.3">
      <c r="A1" s="1" t="s">
        <v>0</v>
      </c>
    </row>
    <row r="3" spans="1: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61.5" customHeight="1" x14ac:dyDescent="0.3">
      <c r="A4" s="3" t="s">
        <v>7</v>
      </c>
      <c r="B4" s="4"/>
      <c r="C4" s="5" t="s">
        <v>8</v>
      </c>
      <c r="D4" s="5" t="s">
        <v>9</v>
      </c>
      <c r="E4" s="5" t="s">
        <v>10</v>
      </c>
      <c r="F4" s="5" t="s">
        <v>11</v>
      </c>
    </row>
    <row r="5" spans="1:6" ht="61.5" customHeight="1" x14ac:dyDescent="0.3">
      <c r="A5" s="6" t="s">
        <v>12</v>
      </c>
      <c r="B5" s="4"/>
      <c r="C5" s="5" t="s">
        <v>13</v>
      </c>
      <c r="D5" s="5" t="s">
        <v>14</v>
      </c>
      <c r="E5" s="5" t="s">
        <v>15</v>
      </c>
      <c r="F5" s="5" t="s">
        <v>16</v>
      </c>
    </row>
    <row r="6" spans="1:6" ht="61.5" customHeight="1" x14ac:dyDescent="0.3">
      <c r="A6" s="7" t="s">
        <v>17</v>
      </c>
      <c r="B6" s="4"/>
      <c r="C6" s="5" t="s">
        <v>18</v>
      </c>
      <c r="D6" s="5" t="s">
        <v>19</v>
      </c>
      <c r="E6" s="5" t="s">
        <v>20</v>
      </c>
      <c r="F6" s="5" t="s">
        <v>21</v>
      </c>
    </row>
    <row r="8" spans="1:6" x14ac:dyDescent="0.3">
      <c r="A8" s="8" t="s">
        <v>22</v>
      </c>
    </row>
    <row r="10" spans="1:6" x14ac:dyDescent="0.3">
      <c r="A10" s="9" t="s">
        <v>23</v>
      </c>
    </row>
    <row r="11" spans="1:6" x14ac:dyDescent="0.3">
      <c r="A11" s="10" t="s">
        <v>24</v>
      </c>
    </row>
    <row r="12" spans="1:6" x14ac:dyDescent="0.3">
      <c r="A12" s="10" t="s">
        <v>25</v>
      </c>
    </row>
    <row r="13" spans="1:6" x14ac:dyDescent="0.3">
      <c r="A13" s="10" t="s">
        <v>26</v>
      </c>
    </row>
    <row r="14" spans="1:6" x14ac:dyDescent="0.3">
      <c r="A14" s="10" t="s">
        <v>27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M54"/>
  <sheetViews>
    <sheetView showGridLines="0" tabSelected="1" zoomScaleNormal="100" workbookViewId="0">
      <pane xSplit="3" ySplit="4" topLeftCell="D37" activePane="bottomRight" state="frozen"/>
      <selection pane="topRight" activeCell="D1" sqref="D1"/>
      <selection pane="bottomLeft" activeCell="A5" sqref="A5"/>
      <selection pane="bottomRight" activeCell="D13" sqref="D13"/>
    </sheetView>
  </sheetViews>
  <sheetFormatPr defaultColWidth="8.6640625" defaultRowHeight="14.4" x14ac:dyDescent="0.3"/>
  <cols>
    <col min="1" max="1" width="7" customWidth="1"/>
    <col min="2" max="2" width="12" customWidth="1"/>
    <col min="3" max="3" width="30" customWidth="1"/>
    <col min="4" max="4" width="60" customWidth="1"/>
    <col min="5" max="5" width="11" customWidth="1"/>
    <col min="6" max="6" width="10" customWidth="1"/>
    <col min="7" max="9" width="8" customWidth="1"/>
    <col min="10" max="10" width="32" customWidth="1"/>
    <col min="11" max="11" width="12" customWidth="1"/>
    <col min="12" max="12" width="15" customWidth="1"/>
    <col min="13" max="13" width="24" customWidth="1"/>
  </cols>
  <sheetData>
    <row r="1" spans="1:13" ht="17.399999999999999" x14ac:dyDescent="0.3">
      <c r="A1" s="1" t="s">
        <v>28</v>
      </c>
    </row>
    <row r="2" spans="1:13" x14ac:dyDescent="0.3">
      <c r="A2" s="8" t="s">
        <v>29</v>
      </c>
    </row>
    <row r="4" spans="1:13" ht="27.75" customHeight="1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 ht="39.6" hidden="1" x14ac:dyDescent="0.3">
      <c r="A5" s="11" t="s">
        <v>43</v>
      </c>
      <c r="B5" s="5" t="s">
        <v>44</v>
      </c>
      <c r="C5" s="5" t="s">
        <v>45</v>
      </c>
      <c r="D5" s="5" t="s">
        <v>46</v>
      </c>
      <c r="E5" s="12" t="s">
        <v>7</v>
      </c>
      <c r="F5" s="11"/>
      <c r="G5" s="13">
        <v>1</v>
      </c>
      <c r="H5" s="13">
        <v>1</v>
      </c>
      <c r="I5" s="11">
        <f t="shared" ref="I5:I52" si="0">H5-G5+1</f>
        <v>1</v>
      </c>
      <c r="J5" s="5" t="s">
        <v>47</v>
      </c>
      <c r="K5" s="11" t="s">
        <v>48</v>
      </c>
      <c r="L5" s="11" t="s">
        <v>49</v>
      </c>
      <c r="M5" s="5"/>
    </row>
    <row r="6" spans="1:13" ht="26.4" hidden="1" x14ac:dyDescent="0.3">
      <c r="A6" s="11" t="s">
        <v>50</v>
      </c>
      <c r="B6" s="5" t="s">
        <v>44</v>
      </c>
      <c r="C6" s="5" t="s">
        <v>51</v>
      </c>
      <c r="D6" s="5" t="s">
        <v>52</v>
      </c>
      <c r="E6" s="12" t="s">
        <v>7</v>
      </c>
      <c r="F6" s="11" t="s">
        <v>12</v>
      </c>
      <c r="G6" s="13">
        <v>1</v>
      </c>
      <c r="H6" s="13">
        <v>1</v>
      </c>
      <c r="I6" s="11">
        <f t="shared" si="0"/>
        <v>1</v>
      </c>
      <c r="J6" s="5" t="s">
        <v>53</v>
      </c>
      <c r="K6" s="11" t="s">
        <v>48</v>
      </c>
      <c r="L6" s="11" t="s">
        <v>49</v>
      </c>
      <c r="M6" s="5"/>
    </row>
    <row r="7" spans="1:13" ht="39.6" hidden="1" x14ac:dyDescent="0.3">
      <c r="A7" s="11" t="s">
        <v>54</v>
      </c>
      <c r="B7" s="5" t="s">
        <v>55</v>
      </c>
      <c r="C7" s="5" t="s">
        <v>56</v>
      </c>
      <c r="D7" s="5" t="s">
        <v>57</v>
      </c>
      <c r="E7" s="12" t="s">
        <v>7</v>
      </c>
      <c r="F7" s="11"/>
      <c r="G7" s="13">
        <v>2</v>
      </c>
      <c r="H7" s="13">
        <v>2</v>
      </c>
      <c r="I7" s="11">
        <f t="shared" si="0"/>
        <v>1</v>
      </c>
      <c r="J7" s="5" t="s">
        <v>58</v>
      </c>
      <c r="K7" s="11" t="s">
        <v>48</v>
      </c>
      <c r="L7" s="11" t="s">
        <v>49</v>
      </c>
      <c r="M7" s="5"/>
    </row>
    <row r="8" spans="1:13" ht="26.4" hidden="1" x14ac:dyDescent="0.3">
      <c r="A8" s="11" t="s">
        <v>59</v>
      </c>
      <c r="B8" s="5" t="s">
        <v>55</v>
      </c>
      <c r="C8" s="5" t="s">
        <v>60</v>
      </c>
      <c r="D8" s="5" t="s">
        <v>61</v>
      </c>
      <c r="E8" s="12" t="s">
        <v>7</v>
      </c>
      <c r="F8" s="11" t="s">
        <v>12</v>
      </c>
      <c r="G8" s="13">
        <v>2</v>
      </c>
      <c r="H8" s="13">
        <v>2</v>
      </c>
      <c r="I8" s="11">
        <f t="shared" si="0"/>
        <v>1</v>
      </c>
      <c r="J8" s="5" t="s">
        <v>62</v>
      </c>
      <c r="K8" s="11" t="s">
        <v>48</v>
      </c>
      <c r="L8" s="11" t="s">
        <v>49</v>
      </c>
      <c r="M8" s="5"/>
    </row>
    <row r="9" spans="1:13" ht="26.4" hidden="1" x14ac:dyDescent="0.3">
      <c r="A9" s="11" t="s">
        <v>63</v>
      </c>
      <c r="B9" s="5" t="s">
        <v>55</v>
      </c>
      <c r="C9" s="5" t="s">
        <v>64</v>
      </c>
      <c r="D9" s="5" t="s">
        <v>65</v>
      </c>
      <c r="E9" s="12" t="s">
        <v>7</v>
      </c>
      <c r="F9" s="11"/>
      <c r="G9" s="13">
        <v>2</v>
      </c>
      <c r="H9" s="13">
        <v>3</v>
      </c>
      <c r="I9" s="11">
        <f t="shared" si="0"/>
        <v>2</v>
      </c>
      <c r="J9" s="5" t="s">
        <v>66</v>
      </c>
      <c r="K9" s="11" t="s">
        <v>48</v>
      </c>
      <c r="L9" s="11" t="s">
        <v>49</v>
      </c>
      <c r="M9" s="5"/>
    </row>
    <row r="10" spans="1:13" ht="26.4" hidden="1" x14ac:dyDescent="0.3">
      <c r="A10" s="11" t="s">
        <v>67</v>
      </c>
      <c r="B10" s="5" t="s">
        <v>68</v>
      </c>
      <c r="C10" s="5" t="s">
        <v>69</v>
      </c>
      <c r="D10" s="5" t="s">
        <v>70</v>
      </c>
      <c r="E10" s="12" t="s">
        <v>7</v>
      </c>
      <c r="F10" s="11"/>
      <c r="G10" s="13">
        <v>3</v>
      </c>
      <c r="H10" s="13">
        <v>3</v>
      </c>
      <c r="I10" s="11">
        <f t="shared" si="0"/>
        <v>1</v>
      </c>
      <c r="J10" s="5" t="s">
        <v>71</v>
      </c>
      <c r="K10" s="11" t="s">
        <v>48</v>
      </c>
      <c r="L10" s="11" t="s">
        <v>49</v>
      </c>
      <c r="M10" s="5"/>
    </row>
    <row r="11" spans="1:13" ht="26.4" hidden="1" x14ac:dyDescent="0.3">
      <c r="A11" s="11" t="s">
        <v>72</v>
      </c>
      <c r="B11" s="5" t="s">
        <v>68</v>
      </c>
      <c r="C11" s="5" t="s">
        <v>73</v>
      </c>
      <c r="D11" s="5" t="s">
        <v>74</v>
      </c>
      <c r="E11" s="12" t="s">
        <v>7</v>
      </c>
      <c r="F11" s="11"/>
      <c r="G11" s="13">
        <v>4</v>
      </c>
      <c r="H11" s="13">
        <v>4</v>
      </c>
      <c r="I11" s="11">
        <f t="shared" si="0"/>
        <v>1</v>
      </c>
      <c r="J11" s="5" t="s">
        <v>75</v>
      </c>
      <c r="K11" s="11" t="s">
        <v>48</v>
      </c>
      <c r="L11" s="11" t="s">
        <v>49</v>
      </c>
      <c r="M11" s="5"/>
    </row>
    <row r="12" spans="1:13" ht="26.4" hidden="1" x14ac:dyDescent="0.3">
      <c r="A12" s="11" t="s">
        <v>76</v>
      </c>
      <c r="B12" s="5" t="s">
        <v>68</v>
      </c>
      <c r="C12" s="5" t="s">
        <v>77</v>
      </c>
      <c r="D12" s="5" t="s">
        <v>78</v>
      </c>
      <c r="E12" s="12" t="s">
        <v>7</v>
      </c>
      <c r="F12" s="11" t="s">
        <v>79</v>
      </c>
      <c r="G12" s="13">
        <v>4</v>
      </c>
      <c r="H12" s="13">
        <v>5</v>
      </c>
      <c r="I12" s="11">
        <f t="shared" si="0"/>
        <v>2</v>
      </c>
      <c r="J12" s="5" t="s">
        <v>80</v>
      </c>
      <c r="K12" s="11" t="s">
        <v>48</v>
      </c>
      <c r="L12" s="11" t="s">
        <v>49</v>
      </c>
      <c r="M12" s="5"/>
    </row>
    <row r="13" spans="1:13" ht="26.4" hidden="1" x14ac:dyDescent="0.3">
      <c r="A13" s="11" t="s">
        <v>81</v>
      </c>
      <c r="B13" s="5" t="s">
        <v>68</v>
      </c>
      <c r="C13" s="5" t="s">
        <v>82</v>
      </c>
      <c r="D13" s="5" t="s">
        <v>83</v>
      </c>
      <c r="E13" s="12" t="s">
        <v>7</v>
      </c>
      <c r="F13" s="11"/>
      <c r="G13" s="13">
        <v>5</v>
      </c>
      <c r="H13" s="13">
        <v>5</v>
      </c>
      <c r="I13" s="11">
        <f t="shared" si="0"/>
        <v>1</v>
      </c>
      <c r="J13" s="5" t="s">
        <v>84</v>
      </c>
      <c r="K13" s="11" t="s">
        <v>85</v>
      </c>
      <c r="L13" s="11" t="s">
        <v>49</v>
      </c>
      <c r="M13" s="5"/>
    </row>
    <row r="14" spans="1:13" ht="26.4" hidden="1" x14ac:dyDescent="0.3">
      <c r="A14" s="11" t="s">
        <v>86</v>
      </c>
      <c r="B14" s="5" t="s">
        <v>68</v>
      </c>
      <c r="C14" s="5" t="s">
        <v>87</v>
      </c>
      <c r="D14" s="5" t="s">
        <v>88</v>
      </c>
      <c r="E14" s="12" t="s">
        <v>7</v>
      </c>
      <c r="F14" s="11" t="s">
        <v>17</v>
      </c>
      <c r="G14" s="13">
        <v>5</v>
      </c>
      <c r="H14" s="13">
        <v>5</v>
      </c>
      <c r="I14" s="11">
        <f t="shared" si="0"/>
        <v>1</v>
      </c>
      <c r="J14" s="5" t="s">
        <v>89</v>
      </c>
      <c r="K14" s="11" t="s">
        <v>85</v>
      </c>
      <c r="L14" s="11" t="s">
        <v>49</v>
      </c>
      <c r="M14" s="5"/>
    </row>
    <row r="15" spans="1:13" ht="26.4" hidden="1" x14ac:dyDescent="0.3">
      <c r="A15" s="11" t="s">
        <v>90</v>
      </c>
      <c r="B15" s="5" t="s">
        <v>68</v>
      </c>
      <c r="C15" s="5" t="s">
        <v>91</v>
      </c>
      <c r="D15" s="5" t="s">
        <v>92</v>
      </c>
      <c r="E15" s="12" t="s">
        <v>7</v>
      </c>
      <c r="F15" s="11"/>
      <c r="G15" s="13">
        <v>6</v>
      </c>
      <c r="H15" s="13">
        <v>6</v>
      </c>
      <c r="I15" s="11">
        <f t="shared" si="0"/>
        <v>1</v>
      </c>
      <c r="J15" s="5" t="s">
        <v>93</v>
      </c>
      <c r="K15" s="11" t="s">
        <v>85</v>
      </c>
      <c r="L15" s="11" t="s">
        <v>49</v>
      </c>
      <c r="M15" s="5"/>
    </row>
    <row r="16" spans="1:13" ht="26.4" hidden="1" x14ac:dyDescent="0.3">
      <c r="A16" s="11" t="s">
        <v>94</v>
      </c>
      <c r="B16" s="5" t="s">
        <v>95</v>
      </c>
      <c r="C16" s="5" t="s">
        <v>96</v>
      </c>
      <c r="D16" s="5" t="s">
        <v>97</v>
      </c>
      <c r="E16" s="12" t="s">
        <v>7</v>
      </c>
      <c r="F16" s="11" t="s">
        <v>79</v>
      </c>
      <c r="G16" s="13">
        <v>7</v>
      </c>
      <c r="H16" s="13">
        <v>7</v>
      </c>
      <c r="I16" s="11">
        <f t="shared" si="0"/>
        <v>1</v>
      </c>
      <c r="J16" s="5" t="s">
        <v>98</v>
      </c>
      <c r="K16" s="11" t="s">
        <v>85</v>
      </c>
      <c r="L16" s="11" t="s">
        <v>49</v>
      </c>
      <c r="M16" s="5"/>
    </row>
    <row r="17" spans="1:13" ht="26.4" hidden="1" x14ac:dyDescent="0.3">
      <c r="A17" s="11" t="s">
        <v>99</v>
      </c>
      <c r="B17" s="5" t="s">
        <v>100</v>
      </c>
      <c r="C17" s="5" t="s">
        <v>101</v>
      </c>
      <c r="D17" s="5" t="s">
        <v>102</v>
      </c>
      <c r="E17" s="12" t="s">
        <v>7</v>
      </c>
      <c r="F17" s="11"/>
      <c r="G17" s="13">
        <v>7</v>
      </c>
      <c r="H17" s="13">
        <v>7</v>
      </c>
      <c r="I17" s="11">
        <f t="shared" si="0"/>
        <v>1</v>
      </c>
      <c r="J17" s="5" t="s">
        <v>103</v>
      </c>
      <c r="K17" s="11" t="s">
        <v>48</v>
      </c>
      <c r="L17" s="11" t="s">
        <v>49</v>
      </c>
      <c r="M17" s="5"/>
    </row>
    <row r="18" spans="1:13" ht="26.4" hidden="1" x14ac:dyDescent="0.3">
      <c r="A18" s="11" t="s">
        <v>104</v>
      </c>
      <c r="B18" s="5" t="s">
        <v>100</v>
      </c>
      <c r="C18" s="5" t="s">
        <v>105</v>
      </c>
      <c r="D18" s="5" t="s">
        <v>106</v>
      </c>
      <c r="E18" s="12" t="s">
        <v>7</v>
      </c>
      <c r="F18" s="11"/>
      <c r="G18" s="13">
        <v>8</v>
      </c>
      <c r="H18" s="13">
        <v>8</v>
      </c>
      <c r="I18" s="11">
        <f t="shared" si="0"/>
        <v>1</v>
      </c>
      <c r="J18" s="5" t="s">
        <v>107</v>
      </c>
      <c r="K18" s="11" t="s">
        <v>48</v>
      </c>
      <c r="L18" s="11" t="s">
        <v>49</v>
      </c>
      <c r="M18" s="5"/>
    </row>
    <row r="19" spans="1:13" hidden="1" x14ac:dyDescent="0.3">
      <c r="A19" s="11" t="s">
        <v>108</v>
      </c>
      <c r="B19" s="5" t="s">
        <v>109</v>
      </c>
      <c r="C19" s="5" t="s">
        <v>110</v>
      </c>
      <c r="D19" s="5" t="s">
        <v>111</v>
      </c>
      <c r="E19" s="12" t="s">
        <v>7</v>
      </c>
      <c r="F19" s="11"/>
      <c r="G19" s="13">
        <v>1</v>
      </c>
      <c r="H19" s="13">
        <v>8</v>
      </c>
      <c r="I19" s="11">
        <f t="shared" si="0"/>
        <v>8</v>
      </c>
      <c r="J19" s="5" t="s">
        <v>112</v>
      </c>
      <c r="K19" s="11" t="s">
        <v>85</v>
      </c>
      <c r="L19" s="11" t="s">
        <v>49</v>
      </c>
      <c r="M19" s="5"/>
    </row>
    <row r="20" spans="1:13" ht="26.4" hidden="1" x14ac:dyDescent="0.3">
      <c r="A20" s="11" t="s">
        <v>113</v>
      </c>
      <c r="B20" s="5" t="s">
        <v>44</v>
      </c>
      <c r="C20" s="5" t="s">
        <v>114</v>
      </c>
      <c r="D20" s="5" t="s">
        <v>115</v>
      </c>
      <c r="E20" s="14" t="s">
        <v>12</v>
      </c>
      <c r="F20" s="11" t="s">
        <v>7</v>
      </c>
      <c r="G20" s="13">
        <v>1</v>
      </c>
      <c r="H20" s="13">
        <v>1</v>
      </c>
      <c r="I20" s="11">
        <f t="shared" si="0"/>
        <v>1</v>
      </c>
      <c r="J20" s="5" t="s">
        <v>116</v>
      </c>
      <c r="K20" s="11" t="s">
        <v>48</v>
      </c>
      <c r="L20" s="11" t="s">
        <v>49</v>
      </c>
      <c r="M20" s="5"/>
    </row>
    <row r="21" spans="1:13" ht="26.4" hidden="1" x14ac:dyDescent="0.3">
      <c r="A21" s="11" t="s">
        <v>117</v>
      </c>
      <c r="B21" s="5" t="s">
        <v>118</v>
      </c>
      <c r="C21" s="5" t="s">
        <v>119</v>
      </c>
      <c r="D21" s="5" t="s">
        <v>120</v>
      </c>
      <c r="E21" s="14" t="s">
        <v>12</v>
      </c>
      <c r="F21" s="11"/>
      <c r="G21" s="13">
        <v>2</v>
      </c>
      <c r="H21" s="13">
        <v>2</v>
      </c>
      <c r="I21" s="11">
        <f t="shared" si="0"/>
        <v>1</v>
      </c>
      <c r="J21" s="5" t="s">
        <v>121</v>
      </c>
      <c r="K21" s="11" t="s">
        <v>48</v>
      </c>
      <c r="L21" s="11" t="s">
        <v>49</v>
      </c>
      <c r="M21" s="5"/>
    </row>
    <row r="22" spans="1:13" ht="26.4" hidden="1" x14ac:dyDescent="0.3">
      <c r="A22" s="11" t="s">
        <v>122</v>
      </c>
      <c r="B22" s="5" t="s">
        <v>123</v>
      </c>
      <c r="C22" s="5" t="s">
        <v>124</v>
      </c>
      <c r="D22" s="5" t="s">
        <v>125</v>
      </c>
      <c r="E22" s="14" t="s">
        <v>12</v>
      </c>
      <c r="F22" s="11"/>
      <c r="G22" s="13">
        <v>3</v>
      </c>
      <c r="H22" s="13">
        <v>3</v>
      </c>
      <c r="I22" s="11">
        <f t="shared" si="0"/>
        <v>1</v>
      </c>
      <c r="J22" s="5" t="s">
        <v>126</v>
      </c>
      <c r="K22" s="11" t="s">
        <v>48</v>
      </c>
      <c r="L22" s="11" t="s">
        <v>49</v>
      </c>
      <c r="M22" s="5"/>
    </row>
    <row r="23" spans="1:13" ht="26.4" hidden="1" x14ac:dyDescent="0.3">
      <c r="A23" s="11" t="s">
        <v>127</v>
      </c>
      <c r="B23" s="5" t="s">
        <v>123</v>
      </c>
      <c r="C23" s="5" t="s">
        <v>128</v>
      </c>
      <c r="D23" s="5" t="s">
        <v>129</v>
      </c>
      <c r="E23" s="14" t="s">
        <v>12</v>
      </c>
      <c r="F23" s="11"/>
      <c r="G23" s="13">
        <v>3</v>
      </c>
      <c r="H23" s="13">
        <v>3</v>
      </c>
      <c r="I23" s="11">
        <f t="shared" si="0"/>
        <v>1</v>
      </c>
      <c r="J23" s="5" t="s">
        <v>130</v>
      </c>
      <c r="K23" s="11" t="s">
        <v>48</v>
      </c>
      <c r="L23" s="11" t="s">
        <v>49</v>
      </c>
      <c r="M23" s="5"/>
    </row>
    <row r="24" spans="1:13" ht="26.4" hidden="1" x14ac:dyDescent="0.3">
      <c r="A24" s="11" t="s">
        <v>131</v>
      </c>
      <c r="B24" s="5" t="s">
        <v>123</v>
      </c>
      <c r="C24" s="5" t="s">
        <v>132</v>
      </c>
      <c r="D24" s="5" t="s">
        <v>133</v>
      </c>
      <c r="E24" s="14" t="s">
        <v>12</v>
      </c>
      <c r="F24" s="11"/>
      <c r="G24" s="13">
        <v>3</v>
      </c>
      <c r="H24" s="13">
        <v>3</v>
      </c>
      <c r="I24" s="11">
        <f t="shared" si="0"/>
        <v>1</v>
      </c>
      <c r="J24" s="5" t="s">
        <v>134</v>
      </c>
      <c r="K24" s="11" t="s">
        <v>48</v>
      </c>
      <c r="L24" s="11" t="s">
        <v>49</v>
      </c>
      <c r="M24" s="5"/>
    </row>
    <row r="25" spans="1:13" ht="26.4" hidden="1" x14ac:dyDescent="0.3">
      <c r="A25" s="11" t="s">
        <v>135</v>
      </c>
      <c r="B25" s="5" t="s">
        <v>123</v>
      </c>
      <c r="C25" s="5" t="s">
        <v>136</v>
      </c>
      <c r="D25" s="5" t="s">
        <v>137</v>
      </c>
      <c r="E25" s="14" t="s">
        <v>12</v>
      </c>
      <c r="F25" s="11" t="s">
        <v>7</v>
      </c>
      <c r="G25" s="13">
        <v>3</v>
      </c>
      <c r="H25" s="13">
        <v>3</v>
      </c>
      <c r="I25" s="11">
        <f t="shared" si="0"/>
        <v>1</v>
      </c>
      <c r="J25" s="5" t="s">
        <v>138</v>
      </c>
      <c r="K25" s="11" t="s">
        <v>48</v>
      </c>
      <c r="L25" s="11" t="s">
        <v>49</v>
      </c>
      <c r="M25" s="5"/>
    </row>
    <row r="26" spans="1:13" ht="26.4" hidden="1" x14ac:dyDescent="0.3">
      <c r="A26" s="11" t="s">
        <v>139</v>
      </c>
      <c r="B26" s="5" t="s">
        <v>140</v>
      </c>
      <c r="C26" s="5" t="s">
        <v>141</v>
      </c>
      <c r="D26" s="5" t="s">
        <v>142</v>
      </c>
      <c r="E26" s="14" t="s">
        <v>12</v>
      </c>
      <c r="F26" s="11"/>
      <c r="G26" s="13">
        <v>4</v>
      </c>
      <c r="H26" s="13">
        <v>4</v>
      </c>
      <c r="I26" s="11">
        <f t="shared" si="0"/>
        <v>1</v>
      </c>
      <c r="J26" s="5" t="s">
        <v>143</v>
      </c>
      <c r="K26" s="11" t="s">
        <v>144</v>
      </c>
      <c r="L26" s="11" t="s">
        <v>49</v>
      </c>
      <c r="M26" s="5"/>
    </row>
    <row r="27" spans="1:13" ht="26.4" hidden="1" x14ac:dyDescent="0.3">
      <c r="A27" s="11" t="s">
        <v>145</v>
      </c>
      <c r="B27" s="5" t="s">
        <v>140</v>
      </c>
      <c r="C27" s="5" t="s">
        <v>146</v>
      </c>
      <c r="D27" s="5" t="s">
        <v>147</v>
      </c>
      <c r="E27" s="14" t="s">
        <v>12</v>
      </c>
      <c r="F27" s="11" t="s">
        <v>17</v>
      </c>
      <c r="G27" s="13">
        <v>4</v>
      </c>
      <c r="H27" s="13">
        <v>4</v>
      </c>
      <c r="I27" s="11">
        <f t="shared" si="0"/>
        <v>1</v>
      </c>
      <c r="J27" s="5" t="s">
        <v>148</v>
      </c>
      <c r="K27" s="11" t="s">
        <v>48</v>
      </c>
      <c r="L27" s="11" t="s">
        <v>49</v>
      </c>
      <c r="M27" s="5"/>
    </row>
    <row r="28" spans="1:13" ht="26.4" hidden="1" x14ac:dyDescent="0.3">
      <c r="A28" s="11" t="s">
        <v>149</v>
      </c>
      <c r="B28" s="5" t="s">
        <v>140</v>
      </c>
      <c r="C28" s="5" t="s">
        <v>150</v>
      </c>
      <c r="D28" s="5" t="s">
        <v>151</v>
      </c>
      <c r="E28" s="14" t="s">
        <v>12</v>
      </c>
      <c r="F28" s="11"/>
      <c r="G28" s="13">
        <v>5</v>
      </c>
      <c r="H28" s="13">
        <v>5</v>
      </c>
      <c r="I28" s="11">
        <f t="shared" si="0"/>
        <v>1</v>
      </c>
      <c r="J28" s="5" t="s">
        <v>152</v>
      </c>
      <c r="K28" s="11" t="s">
        <v>48</v>
      </c>
      <c r="L28" s="11" t="s">
        <v>49</v>
      </c>
      <c r="M28" s="5"/>
    </row>
    <row r="29" spans="1:13" ht="39.6" hidden="1" x14ac:dyDescent="0.3">
      <c r="A29" s="11" t="s">
        <v>153</v>
      </c>
      <c r="B29" s="5" t="s">
        <v>154</v>
      </c>
      <c r="C29" s="5" t="s">
        <v>155</v>
      </c>
      <c r="D29" s="5" t="s">
        <v>156</v>
      </c>
      <c r="E29" s="14" t="s">
        <v>12</v>
      </c>
      <c r="F29" s="11" t="s">
        <v>7</v>
      </c>
      <c r="G29" s="13">
        <v>5</v>
      </c>
      <c r="H29" s="13">
        <v>5</v>
      </c>
      <c r="I29" s="11">
        <f t="shared" si="0"/>
        <v>1</v>
      </c>
      <c r="J29" s="5" t="s">
        <v>157</v>
      </c>
      <c r="K29" s="11" t="s">
        <v>48</v>
      </c>
      <c r="L29" s="11" t="s">
        <v>49</v>
      </c>
      <c r="M29" s="5"/>
    </row>
    <row r="30" spans="1:13" ht="26.4" hidden="1" x14ac:dyDescent="0.3">
      <c r="A30" s="11" t="s">
        <v>158</v>
      </c>
      <c r="B30" s="5" t="s">
        <v>159</v>
      </c>
      <c r="C30" s="5" t="s">
        <v>160</v>
      </c>
      <c r="D30" s="5" t="s">
        <v>161</v>
      </c>
      <c r="E30" s="14" t="s">
        <v>12</v>
      </c>
      <c r="F30" s="11"/>
      <c r="G30" s="13">
        <v>6</v>
      </c>
      <c r="H30" s="13">
        <v>6</v>
      </c>
      <c r="I30" s="11">
        <f t="shared" si="0"/>
        <v>1</v>
      </c>
      <c r="J30" s="5" t="s">
        <v>162</v>
      </c>
      <c r="K30" s="11" t="s">
        <v>48</v>
      </c>
      <c r="L30" s="11" t="s">
        <v>49</v>
      </c>
      <c r="M30" s="5"/>
    </row>
    <row r="31" spans="1:13" ht="26.4" hidden="1" x14ac:dyDescent="0.3">
      <c r="A31" s="11" t="s">
        <v>163</v>
      </c>
      <c r="B31" s="5" t="s">
        <v>159</v>
      </c>
      <c r="C31" s="5" t="s">
        <v>164</v>
      </c>
      <c r="D31" s="5" t="s">
        <v>165</v>
      </c>
      <c r="E31" s="14" t="s">
        <v>12</v>
      </c>
      <c r="F31" s="11" t="s">
        <v>17</v>
      </c>
      <c r="G31" s="13">
        <v>6</v>
      </c>
      <c r="H31" s="13">
        <v>6</v>
      </c>
      <c r="I31" s="11">
        <f t="shared" si="0"/>
        <v>1</v>
      </c>
      <c r="J31" s="5" t="s">
        <v>166</v>
      </c>
      <c r="K31" s="11" t="s">
        <v>48</v>
      </c>
      <c r="L31" s="11" t="s">
        <v>49</v>
      </c>
      <c r="M31" s="5"/>
    </row>
    <row r="32" spans="1:13" ht="26.4" hidden="1" x14ac:dyDescent="0.3">
      <c r="A32" s="11" t="s">
        <v>167</v>
      </c>
      <c r="B32" s="5" t="s">
        <v>100</v>
      </c>
      <c r="C32" s="5" t="s">
        <v>168</v>
      </c>
      <c r="D32" s="5" t="s">
        <v>169</v>
      </c>
      <c r="E32" s="14" t="s">
        <v>12</v>
      </c>
      <c r="F32" s="11"/>
      <c r="G32" s="13">
        <v>7</v>
      </c>
      <c r="H32" s="13">
        <v>7</v>
      </c>
      <c r="I32" s="11">
        <f t="shared" si="0"/>
        <v>1</v>
      </c>
      <c r="J32" s="5" t="s">
        <v>170</v>
      </c>
      <c r="K32" s="11" t="s">
        <v>48</v>
      </c>
      <c r="L32" s="11" t="s">
        <v>49</v>
      </c>
      <c r="M32" s="5"/>
    </row>
    <row r="33" spans="1:13" hidden="1" x14ac:dyDescent="0.3">
      <c r="A33" s="11" t="s">
        <v>171</v>
      </c>
      <c r="B33" s="5" t="s">
        <v>100</v>
      </c>
      <c r="C33" s="5" t="s">
        <v>172</v>
      </c>
      <c r="D33" s="5" t="s">
        <v>173</v>
      </c>
      <c r="E33" s="14" t="s">
        <v>12</v>
      </c>
      <c r="F33" s="11"/>
      <c r="G33" s="13">
        <v>8</v>
      </c>
      <c r="H33" s="13">
        <v>8</v>
      </c>
      <c r="I33" s="11">
        <f t="shared" si="0"/>
        <v>1</v>
      </c>
      <c r="J33" s="5" t="s">
        <v>174</v>
      </c>
      <c r="K33" s="11" t="s">
        <v>48</v>
      </c>
      <c r="L33" s="11" t="s">
        <v>49</v>
      </c>
      <c r="M33" s="5"/>
    </row>
    <row r="34" spans="1:13" ht="26.4" x14ac:dyDescent="0.3">
      <c r="A34" s="11" t="s">
        <v>175</v>
      </c>
      <c r="B34" s="5" t="s">
        <v>44</v>
      </c>
      <c r="C34" s="5" t="s">
        <v>176</v>
      </c>
      <c r="D34" s="5" t="s">
        <v>177</v>
      </c>
      <c r="E34" s="15" t="s">
        <v>17</v>
      </c>
      <c r="F34" s="11" t="s">
        <v>7</v>
      </c>
      <c r="G34" s="13">
        <v>1</v>
      </c>
      <c r="H34" s="13">
        <v>1</v>
      </c>
      <c r="I34" s="11">
        <f t="shared" si="0"/>
        <v>1</v>
      </c>
      <c r="J34" s="5" t="s">
        <v>178</v>
      </c>
      <c r="K34" s="11" t="s">
        <v>48</v>
      </c>
      <c r="L34" s="11" t="s">
        <v>49</v>
      </c>
      <c r="M34" s="5"/>
    </row>
    <row r="35" spans="1:13" ht="26.4" x14ac:dyDescent="0.3">
      <c r="A35" s="11" t="s">
        <v>179</v>
      </c>
      <c r="B35" s="5" t="s">
        <v>44</v>
      </c>
      <c r="C35" s="5" t="s">
        <v>180</v>
      </c>
      <c r="D35" s="5" t="s">
        <v>181</v>
      </c>
      <c r="E35" s="15" t="s">
        <v>17</v>
      </c>
      <c r="F35" s="11" t="s">
        <v>7</v>
      </c>
      <c r="G35" s="13">
        <v>1</v>
      </c>
      <c r="H35" s="13">
        <v>2</v>
      </c>
      <c r="I35" s="11">
        <f t="shared" si="0"/>
        <v>2</v>
      </c>
      <c r="J35" s="5" t="s">
        <v>182</v>
      </c>
      <c r="K35" s="11" t="s">
        <v>48</v>
      </c>
      <c r="L35" s="11" t="s">
        <v>49</v>
      </c>
      <c r="M35" s="5"/>
    </row>
    <row r="36" spans="1:13" ht="26.4" x14ac:dyDescent="0.3">
      <c r="A36" s="11" t="s">
        <v>183</v>
      </c>
      <c r="B36" s="5" t="s">
        <v>55</v>
      </c>
      <c r="C36" s="5" t="s">
        <v>184</v>
      </c>
      <c r="D36" s="5" t="s">
        <v>185</v>
      </c>
      <c r="E36" s="15" t="s">
        <v>17</v>
      </c>
      <c r="F36" s="11"/>
      <c r="G36" s="13">
        <v>2</v>
      </c>
      <c r="H36" s="13">
        <v>2</v>
      </c>
      <c r="I36" s="11">
        <f t="shared" si="0"/>
        <v>1</v>
      </c>
      <c r="J36" s="5" t="s">
        <v>186</v>
      </c>
      <c r="K36" s="11" t="s">
        <v>48</v>
      </c>
      <c r="L36" s="11" t="s">
        <v>49</v>
      </c>
      <c r="M36" s="5"/>
    </row>
    <row r="37" spans="1:13" ht="26.4" x14ac:dyDescent="0.3">
      <c r="A37" s="11" t="s">
        <v>187</v>
      </c>
      <c r="B37" s="5" t="s">
        <v>123</v>
      </c>
      <c r="C37" s="5" t="s">
        <v>188</v>
      </c>
      <c r="D37" s="5" t="s">
        <v>189</v>
      </c>
      <c r="E37" s="15" t="s">
        <v>17</v>
      </c>
      <c r="F37" s="11"/>
      <c r="G37" s="13">
        <v>3</v>
      </c>
      <c r="H37" s="13">
        <v>3</v>
      </c>
      <c r="I37" s="11">
        <f t="shared" si="0"/>
        <v>1</v>
      </c>
      <c r="J37" s="5" t="s">
        <v>190</v>
      </c>
      <c r="K37" s="11" t="s">
        <v>48</v>
      </c>
      <c r="L37" s="11" t="s">
        <v>49</v>
      </c>
      <c r="M37" s="5"/>
    </row>
    <row r="38" spans="1:13" ht="26.4" x14ac:dyDescent="0.3">
      <c r="A38" s="11" t="s">
        <v>191</v>
      </c>
      <c r="B38" s="5" t="s">
        <v>123</v>
      </c>
      <c r="C38" s="5" t="s">
        <v>192</v>
      </c>
      <c r="D38" s="5" t="s">
        <v>193</v>
      </c>
      <c r="E38" s="15" t="s">
        <v>17</v>
      </c>
      <c r="F38" s="11" t="s">
        <v>7</v>
      </c>
      <c r="G38" s="13">
        <v>3</v>
      </c>
      <c r="H38" s="13">
        <v>3</v>
      </c>
      <c r="I38" s="11">
        <f t="shared" si="0"/>
        <v>1</v>
      </c>
      <c r="J38" s="5" t="s">
        <v>194</v>
      </c>
      <c r="K38" s="11" t="s">
        <v>48</v>
      </c>
      <c r="L38" s="11" t="s">
        <v>49</v>
      </c>
      <c r="M38" s="5"/>
    </row>
    <row r="39" spans="1:13" ht="26.4" x14ac:dyDescent="0.3">
      <c r="A39" s="11" t="s">
        <v>195</v>
      </c>
      <c r="B39" s="5" t="s">
        <v>140</v>
      </c>
      <c r="C39" s="5" t="s">
        <v>196</v>
      </c>
      <c r="D39" s="5" t="s">
        <v>197</v>
      </c>
      <c r="E39" s="15" t="s">
        <v>17</v>
      </c>
      <c r="F39" s="11"/>
      <c r="G39" s="13">
        <v>4</v>
      </c>
      <c r="H39" s="13">
        <v>4</v>
      </c>
      <c r="I39" s="11">
        <f t="shared" si="0"/>
        <v>1</v>
      </c>
      <c r="J39" s="5" t="s">
        <v>198</v>
      </c>
      <c r="K39" s="11" t="s">
        <v>85</v>
      </c>
      <c r="L39" s="11" t="s">
        <v>49</v>
      </c>
      <c r="M39" s="5"/>
    </row>
    <row r="40" spans="1:13" ht="26.4" x14ac:dyDescent="0.3">
      <c r="A40" s="11" t="s">
        <v>199</v>
      </c>
      <c r="B40" s="5" t="s">
        <v>140</v>
      </c>
      <c r="C40" s="5" t="s">
        <v>200</v>
      </c>
      <c r="D40" s="5" t="s">
        <v>201</v>
      </c>
      <c r="E40" s="15" t="s">
        <v>17</v>
      </c>
      <c r="F40" s="11"/>
      <c r="G40" s="13">
        <v>4</v>
      </c>
      <c r="H40" s="13">
        <v>4</v>
      </c>
      <c r="I40" s="11">
        <f t="shared" si="0"/>
        <v>1</v>
      </c>
      <c r="J40" s="5" t="s">
        <v>202</v>
      </c>
      <c r="K40" s="11" t="s">
        <v>144</v>
      </c>
      <c r="L40" s="11" t="s">
        <v>49</v>
      </c>
      <c r="M40" s="5"/>
    </row>
    <row r="41" spans="1:13" ht="26.4" x14ac:dyDescent="0.3">
      <c r="A41" s="11" t="s">
        <v>203</v>
      </c>
      <c r="B41" s="5" t="s">
        <v>140</v>
      </c>
      <c r="C41" s="5" t="s">
        <v>204</v>
      </c>
      <c r="D41" s="5" t="s">
        <v>205</v>
      </c>
      <c r="E41" s="15" t="s">
        <v>17</v>
      </c>
      <c r="F41" s="11" t="s">
        <v>7</v>
      </c>
      <c r="G41" s="13">
        <v>5</v>
      </c>
      <c r="H41" s="13">
        <v>5</v>
      </c>
      <c r="I41" s="11">
        <f t="shared" si="0"/>
        <v>1</v>
      </c>
      <c r="J41" s="5" t="s">
        <v>206</v>
      </c>
      <c r="K41" s="11" t="s">
        <v>85</v>
      </c>
      <c r="L41" s="11" t="s">
        <v>49</v>
      </c>
      <c r="M41" s="5"/>
    </row>
    <row r="42" spans="1:13" ht="26.4" x14ac:dyDescent="0.3">
      <c r="A42" s="11" t="s">
        <v>207</v>
      </c>
      <c r="B42" s="5" t="s">
        <v>154</v>
      </c>
      <c r="C42" s="5" t="s">
        <v>208</v>
      </c>
      <c r="D42" s="5" t="s">
        <v>209</v>
      </c>
      <c r="E42" s="15" t="s">
        <v>17</v>
      </c>
      <c r="F42" s="11" t="s">
        <v>7</v>
      </c>
      <c r="G42" s="13">
        <v>5</v>
      </c>
      <c r="H42" s="13">
        <v>5</v>
      </c>
      <c r="I42" s="11">
        <f t="shared" si="0"/>
        <v>1</v>
      </c>
      <c r="J42" s="5" t="s">
        <v>210</v>
      </c>
      <c r="K42" s="11" t="s">
        <v>48</v>
      </c>
      <c r="L42" s="11" t="s">
        <v>49</v>
      </c>
      <c r="M42" s="5"/>
    </row>
    <row r="43" spans="1:13" ht="26.4" x14ac:dyDescent="0.3">
      <c r="A43" s="11" t="s">
        <v>211</v>
      </c>
      <c r="B43" s="5" t="s">
        <v>212</v>
      </c>
      <c r="C43" s="5" t="s">
        <v>213</v>
      </c>
      <c r="D43" s="5" t="s">
        <v>214</v>
      </c>
      <c r="E43" s="15" t="s">
        <v>17</v>
      </c>
      <c r="F43" s="11" t="s">
        <v>12</v>
      </c>
      <c r="G43" s="13">
        <v>6</v>
      </c>
      <c r="H43" s="13">
        <v>6</v>
      </c>
      <c r="I43" s="11">
        <f t="shared" si="0"/>
        <v>1</v>
      </c>
      <c r="J43" s="5" t="s">
        <v>215</v>
      </c>
      <c r="K43" s="11" t="s">
        <v>48</v>
      </c>
      <c r="L43" s="11" t="s">
        <v>49</v>
      </c>
      <c r="M43" s="5"/>
    </row>
    <row r="44" spans="1:13" ht="26.4" x14ac:dyDescent="0.3">
      <c r="A44" s="11" t="s">
        <v>216</v>
      </c>
      <c r="B44" s="5" t="s">
        <v>212</v>
      </c>
      <c r="C44" s="5" t="s">
        <v>217</v>
      </c>
      <c r="D44" s="5" t="s">
        <v>218</v>
      </c>
      <c r="E44" s="15" t="s">
        <v>17</v>
      </c>
      <c r="F44" s="11"/>
      <c r="G44" s="13">
        <v>6</v>
      </c>
      <c r="H44" s="13">
        <v>6</v>
      </c>
      <c r="I44" s="11">
        <f t="shared" si="0"/>
        <v>1</v>
      </c>
      <c r="J44" s="5" t="s">
        <v>219</v>
      </c>
      <c r="K44" s="11" t="s">
        <v>85</v>
      </c>
      <c r="L44" s="11" t="s">
        <v>49</v>
      </c>
      <c r="M44" s="5"/>
    </row>
    <row r="45" spans="1:13" ht="26.4" x14ac:dyDescent="0.3">
      <c r="A45" s="11" t="s">
        <v>220</v>
      </c>
      <c r="B45" s="5" t="s">
        <v>212</v>
      </c>
      <c r="C45" s="5" t="s">
        <v>221</v>
      </c>
      <c r="D45" s="5" t="s">
        <v>222</v>
      </c>
      <c r="E45" s="15" t="s">
        <v>17</v>
      </c>
      <c r="F45" s="11" t="s">
        <v>7</v>
      </c>
      <c r="G45" s="13">
        <v>7</v>
      </c>
      <c r="H45" s="13">
        <v>7</v>
      </c>
      <c r="I45" s="11">
        <f t="shared" si="0"/>
        <v>1</v>
      </c>
      <c r="J45" s="5" t="s">
        <v>223</v>
      </c>
      <c r="K45" s="11" t="s">
        <v>85</v>
      </c>
      <c r="L45" s="11" t="s">
        <v>49</v>
      </c>
      <c r="M45" s="5"/>
    </row>
    <row r="46" spans="1:13" ht="26.4" x14ac:dyDescent="0.3">
      <c r="A46" s="11" t="s">
        <v>224</v>
      </c>
      <c r="B46" s="5" t="s">
        <v>100</v>
      </c>
      <c r="C46" s="5" t="s">
        <v>225</v>
      </c>
      <c r="D46" s="5" t="s">
        <v>226</v>
      </c>
      <c r="E46" s="15" t="s">
        <v>17</v>
      </c>
      <c r="F46" s="11"/>
      <c r="G46" s="13">
        <v>7</v>
      </c>
      <c r="H46" s="13">
        <v>7</v>
      </c>
      <c r="I46" s="11">
        <f t="shared" si="0"/>
        <v>1</v>
      </c>
      <c r="J46" s="5" t="s">
        <v>227</v>
      </c>
      <c r="K46" s="11" t="s">
        <v>48</v>
      </c>
      <c r="L46" s="11" t="s">
        <v>49</v>
      </c>
      <c r="M46" s="5"/>
    </row>
    <row r="47" spans="1:13" ht="26.4" x14ac:dyDescent="0.3">
      <c r="A47" s="11" t="s">
        <v>228</v>
      </c>
      <c r="B47" s="5" t="s">
        <v>100</v>
      </c>
      <c r="C47" s="5" t="s">
        <v>229</v>
      </c>
      <c r="D47" s="5" t="s">
        <v>230</v>
      </c>
      <c r="E47" s="15" t="s">
        <v>17</v>
      </c>
      <c r="F47" s="11"/>
      <c r="G47" s="13">
        <v>8</v>
      </c>
      <c r="H47" s="13">
        <v>8</v>
      </c>
      <c r="I47" s="11">
        <f t="shared" si="0"/>
        <v>1</v>
      </c>
      <c r="J47" s="5" t="s">
        <v>231</v>
      </c>
      <c r="K47" s="11" t="s">
        <v>48</v>
      </c>
      <c r="L47" s="11" t="s">
        <v>49</v>
      </c>
      <c r="M47" s="5"/>
    </row>
    <row r="48" spans="1:13" ht="26.4" hidden="1" x14ac:dyDescent="0.3">
      <c r="A48" s="11" t="s">
        <v>232</v>
      </c>
      <c r="B48" s="5" t="s">
        <v>233</v>
      </c>
      <c r="C48" s="5" t="s">
        <v>234</v>
      </c>
      <c r="D48" s="5" t="s">
        <v>235</v>
      </c>
      <c r="E48" s="16" t="s">
        <v>236</v>
      </c>
      <c r="F48" s="11"/>
      <c r="G48" s="13">
        <v>1</v>
      </c>
      <c r="H48" s="13">
        <v>1</v>
      </c>
      <c r="I48" s="11">
        <f t="shared" si="0"/>
        <v>1</v>
      </c>
      <c r="J48" s="5" t="s">
        <v>237</v>
      </c>
      <c r="K48" s="11" t="s">
        <v>48</v>
      </c>
      <c r="L48" s="11" t="s">
        <v>49</v>
      </c>
      <c r="M48" s="5"/>
    </row>
    <row r="49" spans="1:13" ht="26.4" hidden="1" x14ac:dyDescent="0.3">
      <c r="A49" s="11" t="s">
        <v>238</v>
      </c>
      <c r="B49" s="5" t="s">
        <v>233</v>
      </c>
      <c r="C49" s="5" t="s">
        <v>239</v>
      </c>
      <c r="D49" s="5" t="s">
        <v>240</v>
      </c>
      <c r="E49" s="16" t="s">
        <v>236</v>
      </c>
      <c r="F49" s="11"/>
      <c r="G49" s="13">
        <v>3</v>
      </c>
      <c r="H49" s="13">
        <v>3</v>
      </c>
      <c r="I49" s="11">
        <f t="shared" si="0"/>
        <v>1</v>
      </c>
      <c r="J49" s="5" t="s">
        <v>241</v>
      </c>
      <c r="K49" s="11" t="s">
        <v>48</v>
      </c>
      <c r="L49" s="11" t="s">
        <v>49</v>
      </c>
      <c r="M49" s="5"/>
    </row>
    <row r="50" spans="1:13" ht="26.4" hidden="1" x14ac:dyDescent="0.3">
      <c r="A50" s="11" t="s">
        <v>242</v>
      </c>
      <c r="B50" s="5" t="s">
        <v>233</v>
      </c>
      <c r="C50" s="5" t="s">
        <v>243</v>
      </c>
      <c r="D50" s="5" t="s">
        <v>244</v>
      </c>
      <c r="E50" s="16" t="s">
        <v>236</v>
      </c>
      <c r="F50" s="11"/>
      <c r="G50" s="13">
        <v>5</v>
      </c>
      <c r="H50" s="13">
        <v>5</v>
      </c>
      <c r="I50" s="11">
        <f t="shared" si="0"/>
        <v>1</v>
      </c>
      <c r="J50" s="5" t="s">
        <v>245</v>
      </c>
      <c r="K50" s="11" t="s">
        <v>48</v>
      </c>
      <c r="L50" s="11" t="s">
        <v>49</v>
      </c>
      <c r="M50" s="5"/>
    </row>
    <row r="51" spans="1:13" hidden="1" x14ac:dyDescent="0.3">
      <c r="A51" s="11" t="s">
        <v>246</v>
      </c>
      <c r="B51" s="5" t="s">
        <v>233</v>
      </c>
      <c r="C51" s="5" t="s">
        <v>247</v>
      </c>
      <c r="D51" s="5" t="s">
        <v>248</v>
      </c>
      <c r="E51" s="16" t="s">
        <v>236</v>
      </c>
      <c r="F51" s="11"/>
      <c r="G51" s="13">
        <v>6</v>
      </c>
      <c r="H51" s="13">
        <v>6</v>
      </c>
      <c r="I51" s="11">
        <f t="shared" si="0"/>
        <v>1</v>
      </c>
      <c r="J51" s="5" t="s">
        <v>247</v>
      </c>
      <c r="K51" s="11" t="s">
        <v>48</v>
      </c>
      <c r="L51" s="11" t="s">
        <v>49</v>
      </c>
      <c r="M51" s="5"/>
    </row>
    <row r="52" spans="1:13" hidden="1" x14ac:dyDescent="0.3">
      <c r="A52" s="11" t="s">
        <v>249</v>
      </c>
      <c r="B52" s="5" t="s">
        <v>233</v>
      </c>
      <c r="C52" s="5" t="s">
        <v>250</v>
      </c>
      <c r="D52" s="5" t="s">
        <v>251</v>
      </c>
      <c r="E52" s="16" t="s">
        <v>236</v>
      </c>
      <c r="F52" s="11"/>
      <c r="G52" s="13">
        <v>8</v>
      </c>
      <c r="H52" s="13">
        <v>8</v>
      </c>
      <c r="I52" s="11">
        <f t="shared" si="0"/>
        <v>1</v>
      </c>
      <c r="J52" s="5" t="s">
        <v>252</v>
      </c>
      <c r="K52" s="11" t="s">
        <v>48</v>
      </c>
      <c r="L52" s="11" t="s">
        <v>49</v>
      </c>
      <c r="M52" s="5"/>
    </row>
    <row r="54" spans="1:13" x14ac:dyDescent="0.3">
      <c r="A54" s="8" t="s">
        <v>253</v>
      </c>
    </row>
  </sheetData>
  <autoFilter ref="A4:M52" xr:uid="{00000000-0009-0000-0000-000001000000}">
    <filterColumn colId="4">
      <filters>
        <filter val="C"/>
      </filters>
    </filterColumn>
  </autoFilter>
  <conditionalFormatting sqref="L5:L52">
    <cfRule type="expression" dxfId="2" priority="2">
      <formula>$L5="Hoàn thành"</formula>
    </cfRule>
    <cfRule type="expression" dxfId="1" priority="3">
      <formula>$L5="Đang làm"</formula>
    </cfRule>
    <cfRule type="expression" dxfId="0" priority="4">
      <formula>$L5="Bị chặn"</formula>
    </cfRule>
  </conditionalFormatting>
  <dataValidations count="3">
    <dataValidation type="list" sqref="L5:L52" xr:uid="{00000000-0002-0000-0100-000000000000}">
      <formula1>"Chưa bắt đầu,Đang làm,Hoàn thành,Bị chặn"</formula1>
      <formula2>0</formula2>
    </dataValidation>
    <dataValidation type="list" sqref="K5:K52" xr:uid="{00000000-0002-0000-0100-000001000000}">
      <formula1>"Cao,Trung bình,Thấp"</formula1>
      <formula2>0</formula2>
    </dataValidation>
    <dataValidation type="list" sqref="E5:E52" xr:uid="{00000000-0002-0000-0100-000002000000}">
      <formula1>"A,B,C,Cả nhóm"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0"/>
  <sheetViews>
    <sheetView showGridLines="0" zoomScaleNormal="100" workbookViewId="0">
      <selection activeCell="D4" sqref="D4"/>
    </sheetView>
  </sheetViews>
  <sheetFormatPr defaultColWidth="8.6640625" defaultRowHeight="14.4" x14ac:dyDescent="0.3"/>
  <cols>
    <col min="1" max="1" width="48" customWidth="1"/>
    <col min="2" max="3" width="18" customWidth="1"/>
    <col min="4" max="4" width="16" customWidth="1"/>
    <col min="5" max="5" width="45" customWidth="1"/>
  </cols>
  <sheetData>
    <row r="1" spans="1:5" ht="17.399999999999999" x14ac:dyDescent="0.3">
      <c r="A1" s="1" t="s">
        <v>254</v>
      </c>
    </row>
    <row r="3" spans="1:5" x14ac:dyDescent="0.3">
      <c r="A3" s="2" t="s">
        <v>255</v>
      </c>
      <c r="B3" s="2" t="s">
        <v>256</v>
      </c>
      <c r="C3" s="2" t="s">
        <v>257</v>
      </c>
      <c r="D3" s="2" t="s">
        <v>258</v>
      </c>
      <c r="E3" s="2" t="s">
        <v>42</v>
      </c>
    </row>
    <row r="4" spans="1:5" x14ac:dyDescent="0.3">
      <c r="A4" s="17" t="s">
        <v>259</v>
      </c>
      <c r="B4" s="11" t="s">
        <v>7</v>
      </c>
      <c r="C4" s="11" t="s">
        <v>79</v>
      </c>
      <c r="D4" s="11">
        <v>3</v>
      </c>
      <c r="E4" s="17" t="s">
        <v>241</v>
      </c>
    </row>
    <row r="5" spans="1:5" x14ac:dyDescent="0.3">
      <c r="A5" s="17" t="s">
        <v>260</v>
      </c>
      <c r="B5" s="11" t="s">
        <v>17</v>
      </c>
      <c r="C5" s="11" t="s">
        <v>7</v>
      </c>
      <c r="D5" s="11">
        <v>2</v>
      </c>
      <c r="E5" s="17" t="s">
        <v>261</v>
      </c>
    </row>
    <row r="6" spans="1:5" x14ac:dyDescent="0.3">
      <c r="A6" s="17" t="s">
        <v>262</v>
      </c>
      <c r="B6" s="11" t="s">
        <v>17</v>
      </c>
      <c r="C6" s="11" t="s">
        <v>7</v>
      </c>
      <c r="D6" s="11">
        <v>2</v>
      </c>
      <c r="E6" s="17" t="s">
        <v>263</v>
      </c>
    </row>
    <row r="7" spans="1:5" x14ac:dyDescent="0.3">
      <c r="A7" s="17" t="s">
        <v>264</v>
      </c>
      <c r="B7" s="11" t="s">
        <v>236</v>
      </c>
      <c r="C7" s="11"/>
      <c r="D7" s="11">
        <v>5</v>
      </c>
      <c r="E7" s="17" t="s">
        <v>265</v>
      </c>
    </row>
    <row r="8" spans="1:5" x14ac:dyDescent="0.3">
      <c r="A8" s="17" t="s">
        <v>266</v>
      </c>
      <c r="B8" s="11" t="s">
        <v>236</v>
      </c>
      <c r="C8" s="11"/>
      <c r="D8" s="11">
        <v>5</v>
      </c>
      <c r="E8" s="17" t="s">
        <v>267</v>
      </c>
    </row>
    <row r="9" spans="1:5" x14ac:dyDescent="0.3">
      <c r="A9" s="17" t="s">
        <v>268</v>
      </c>
      <c r="B9" s="11" t="s">
        <v>269</v>
      </c>
      <c r="C9" s="11" t="s">
        <v>270</v>
      </c>
      <c r="D9" s="11">
        <v>6</v>
      </c>
      <c r="E9" s="17" t="s">
        <v>271</v>
      </c>
    </row>
    <row r="10" spans="1:5" x14ac:dyDescent="0.3">
      <c r="A10" s="17" t="s">
        <v>272</v>
      </c>
      <c r="B10" s="11" t="s">
        <v>7</v>
      </c>
      <c r="C10" s="11"/>
      <c r="D10" s="11">
        <v>8</v>
      </c>
      <c r="E10" s="17" t="s">
        <v>273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8"/>
  <sheetViews>
    <sheetView showGridLines="0" zoomScaleNormal="100" workbookViewId="0">
      <selection activeCell="A4" sqref="A4:XFD4"/>
    </sheetView>
  </sheetViews>
  <sheetFormatPr defaultColWidth="8.6640625" defaultRowHeight="14.4" x14ac:dyDescent="0.3"/>
  <cols>
    <col min="1" max="1" width="48" customWidth="1"/>
    <col min="2" max="2" width="18" customWidth="1"/>
    <col min="3" max="3" width="20" customWidth="1"/>
    <col min="4" max="4" width="12" customWidth="1"/>
    <col min="5" max="5" width="16" customWidth="1"/>
  </cols>
  <sheetData>
    <row r="1" spans="1:5" ht="17.399999999999999" x14ac:dyDescent="0.3">
      <c r="A1" s="1" t="s">
        <v>274</v>
      </c>
    </row>
    <row r="3" spans="1:5" x14ac:dyDescent="0.3">
      <c r="A3" s="2" t="s">
        <v>275</v>
      </c>
      <c r="B3" s="2" t="s">
        <v>276</v>
      </c>
      <c r="C3" s="2" t="s">
        <v>277</v>
      </c>
      <c r="D3" s="2" t="s">
        <v>278</v>
      </c>
      <c r="E3" s="2" t="s">
        <v>41</v>
      </c>
    </row>
    <row r="4" spans="1:5" x14ac:dyDescent="0.3">
      <c r="A4" s="17" t="s">
        <v>279</v>
      </c>
      <c r="B4" s="11" t="s">
        <v>17</v>
      </c>
      <c r="C4" s="11"/>
      <c r="D4" s="11">
        <v>7</v>
      </c>
      <c r="E4" s="11" t="s">
        <v>49</v>
      </c>
    </row>
    <row r="5" spans="1:5" x14ac:dyDescent="0.3">
      <c r="A5" s="17" t="s">
        <v>280</v>
      </c>
      <c r="B5" s="11" t="s">
        <v>7</v>
      </c>
      <c r="C5" s="11" t="s">
        <v>12</v>
      </c>
      <c r="D5" s="11">
        <v>7</v>
      </c>
      <c r="E5" s="11" t="s">
        <v>49</v>
      </c>
    </row>
    <row r="6" spans="1:5" x14ac:dyDescent="0.3">
      <c r="A6" s="17" t="s">
        <v>281</v>
      </c>
      <c r="B6" s="11" t="s">
        <v>17</v>
      </c>
      <c r="C6" s="11"/>
      <c r="D6" s="11">
        <v>7</v>
      </c>
      <c r="E6" s="11" t="s">
        <v>49</v>
      </c>
    </row>
    <row r="7" spans="1:5" x14ac:dyDescent="0.3">
      <c r="A7" s="17" t="s">
        <v>282</v>
      </c>
      <c r="B7" s="11" t="s">
        <v>12</v>
      </c>
      <c r="C7" s="11"/>
      <c r="D7" s="11">
        <v>7</v>
      </c>
      <c r="E7" s="11" t="s">
        <v>49</v>
      </c>
    </row>
    <row r="8" spans="1:5" x14ac:dyDescent="0.3">
      <c r="A8" s="17" t="s">
        <v>283</v>
      </c>
      <c r="B8" s="11" t="s">
        <v>12</v>
      </c>
      <c r="C8" s="11"/>
      <c r="D8" s="11">
        <v>7</v>
      </c>
      <c r="E8" s="11" t="s">
        <v>49</v>
      </c>
    </row>
    <row r="9" spans="1:5" x14ac:dyDescent="0.3">
      <c r="A9" s="17" t="s">
        <v>284</v>
      </c>
      <c r="B9" s="11" t="s">
        <v>17</v>
      </c>
      <c r="C9" s="11"/>
      <c r="D9" s="11">
        <v>7</v>
      </c>
      <c r="E9" s="11" t="s">
        <v>49</v>
      </c>
    </row>
    <row r="10" spans="1:5" x14ac:dyDescent="0.3">
      <c r="A10" s="17" t="s">
        <v>285</v>
      </c>
      <c r="B10" s="11" t="s">
        <v>7</v>
      </c>
      <c r="C10" s="11"/>
      <c r="D10" s="11">
        <v>7</v>
      </c>
      <c r="E10" s="11" t="s">
        <v>49</v>
      </c>
    </row>
    <row r="11" spans="1:5" x14ac:dyDescent="0.3">
      <c r="A11" s="17" t="s">
        <v>286</v>
      </c>
      <c r="B11" s="11" t="s">
        <v>7</v>
      </c>
      <c r="C11" s="11"/>
      <c r="D11" s="11">
        <v>7</v>
      </c>
      <c r="E11" s="11" t="s">
        <v>49</v>
      </c>
    </row>
    <row r="12" spans="1:5" x14ac:dyDescent="0.3">
      <c r="A12" s="17" t="s">
        <v>287</v>
      </c>
      <c r="B12" s="11" t="s">
        <v>269</v>
      </c>
      <c r="C12" s="11" t="s">
        <v>7</v>
      </c>
      <c r="D12" s="11">
        <v>7</v>
      </c>
      <c r="E12" s="11" t="s">
        <v>49</v>
      </c>
    </row>
    <row r="13" spans="1:5" x14ac:dyDescent="0.3">
      <c r="A13" s="17" t="s">
        <v>288</v>
      </c>
      <c r="B13" s="11" t="s">
        <v>17</v>
      </c>
      <c r="C13" s="11" t="s">
        <v>12</v>
      </c>
      <c r="D13" s="11">
        <v>7</v>
      </c>
      <c r="E13" s="11" t="s">
        <v>49</v>
      </c>
    </row>
    <row r="14" spans="1:5" x14ac:dyDescent="0.3">
      <c r="A14" s="17" t="s">
        <v>289</v>
      </c>
      <c r="B14" s="11" t="s">
        <v>12</v>
      </c>
      <c r="C14" s="11" t="s">
        <v>17</v>
      </c>
      <c r="D14" s="11">
        <v>7</v>
      </c>
      <c r="E14" s="11" t="s">
        <v>49</v>
      </c>
    </row>
    <row r="15" spans="1:5" x14ac:dyDescent="0.3">
      <c r="A15" s="17" t="s">
        <v>290</v>
      </c>
      <c r="B15" s="11" t="s">
        <v>17</v>
      </c>
      <c r="C15" s="11" t="s">
        <v>291</v>
      </c>
      <c r="D15" s="11">
        <v>7</v>
      </c>
      <c r="E15" s="11" t="s">
        <v>49</v>
      </c>
    </row>
    <row r="16" spans="1:5" x14ac:dyDescent="0.3">
      <c r="A16" s="17" t="s">
        <v>292</v>
      </c>
      <c r="B16" s="11" t="s">
        <v>7</v>
      </c>
      <c r="C16" s="11"/>
      <c r="D16" s="11">
        <v>8</v>
      </c>
      <c r="E16" s="11" t="s">
        <v>49</v>
      </c>
    </row>
    <row r="17" spans="1:5" x14ac:dyDescent="0.3">
      <c r="A17" s="17" t="s">
        <v>293</v>
      </c>
      <c r="B17" s="11" t="s">
        <v>12</v>
      </c>
      <c r="C17" s="11"/>
      <c r="D17" s="11">
        <v>8</v>
      </c>
      <c r="E17" s="11" t="s">
        <v>49</v>
      </c>
    </row>
    <row r="18" spans="1:5" x14ac:dyDescent="0.3">
      <c r="A18" s="17" t="s">
        <v>294</v>
      </c>
      <c r="B18" s="11" t="s">
        <v>17</v>
      </c>
      <c r="C18" s="11"/>
      <c r="D18" s="11">
        <v>8</v>
      </c>
      <c r="E18" s="11" t="s">
        <v>49</v>
      </c>
    </row>
  </sheetData>
  <dataValidations count="1">
    <dataValidation type="list" sqref="E4:E18" xr:uid="{00000000-0002-0000-0500-000000000000}">
      <formula1>"Chưa bắt đầu,Đang làm,Hoàn thành"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Vai trò thành viên</vt:lpstr>
      <vt:lpstr>Phân công chi tiết</vt:lpstr>
      <vt:lpstr>Điểm giao nhau</vt:lpstr>
      <vt:lpstr>Phân công 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Trần Duy Minh Phát</cp:lastModifiedBy>
  <cp:revision>0</cp:revision>
  <dcterms:created xsi:type="dcterms:W3CDTF">2026-10-18T10:42:57Z</dcterms:created>
  <dcterms:modified xsi:type="dcterms:W3CDTF">2026-10-18T10:52:42Z</dcterms:modified>
  <dc:language>en-US</dc:language>
</cp:coreProperties>
</file>